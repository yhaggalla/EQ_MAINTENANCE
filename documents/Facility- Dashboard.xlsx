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e\Downloads\"/>
    </mc:Choice>
  </mc:AlternateContent>
  <xr:revisionPtr revIDLastSave="0" documentId="13_ncr:1_{79BCA579-4BCF-4992-ACDE-853E5BE9A3AF}" xr6:coauthVersionLast="47" xr6:coauthVersionMax="47" xr10:uidLastSave="{00000000-0000-0000-0000-000000000000}"/>
  <bookViews>
    <workbookView xWindow="28680" yWindow="-120" windowWidth="29040" windowHeight="15720" xr2:uid="{68450D62-90C4-4343-8D81-A64928D8EACE}"/>
  </bookViews>
  <sheets>
    <sheet name="Sheet1" sheetId="1" r:id="rId1"/>
  </sheets>
  <definedNames>
    <definedName name="_xlnm._FilterDatabase" localSheetId="0" hidden="1">Sheet1!$B$1:$Q$112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" i="1" l="1"/>
  <c r="I14" i="1"/>
  <c r="I13" i="1"/>
  <c r="I15" i="1"/>
  <c r="I18" i="1"/>
  <c r="I16" i="1"/>
  <c r="I17" i="1"/>
  <c r="I36" i="1"/>
  <c r="I34" i="1"/>
  <c r="I8" i="1"/>
  <c r="I7" i="1"/>
  <c r="I6" i="1"/>
  <c r="I3" i="1"/>
  <c r="I5" i="1"/>
  <c r="P12" i="1"/>
  <c r="P5" i="1"/>
  <c r="P6" i="1"/>
  <c r="P7" i="1"/>
  <c r="P8" i="1"/>
  <c r="P9" i="1"/>
  <c r="P10" i="1"/>
  <c r="P4" i="1"/>
  <c r="P3" i="1"/>
  <c r="I4" i="1"/>
  <c r="P2" i="1"/>
  <c r="O2" i="1"/>
</calcChain>
</file>

<file path=xl/sharedStrings.xml><?xml version="1.0" encoding="utf-8"?>
<sst xmlns="http://schemas.openxmlformats.org/spreadsheetml/2006/main" count="688" uniqueCount="156">
  <si>
    <t>Internal Section</t>
  </si>
  <si>
    <t>Description</t>
  </si>
  <si>
    <t>Frequency</t>
  </si>
  <si>
    <t>Quantity</t>
  </si>
  <si>
    <t>Last Date</t>
  </si>
  <si>
    <t>Next Date</t>
  </si>
  <si>
    <t>Status (Completed, Pending)</t>
  </si>
  <si>
    <t>Remarks</t>
  </si>
  <si>
    <t>Section</t>
  </si>
  <si>
    <t>PIC</t>
  </si>
  <si>
    <t>Facility</t>
  </si>
  <si>
    <t>Electrical</t>
  </si>
  <si>
    <t>Electrical Panel Board</t>
  </si>
  <si>
    <t>Service</t>
  </si>
  <si>
    <t>Annually</t>
  </si>
  <si>
    <t>N/A</t>
  </si>
  <si>
    <t>Mahesh</t>
  </si>
  <si>
    <t>In-house/ Outsource</t>
  </si>
  <si>
    <t>In-house</t>
  </si>
  <si>
    <t>Recurring</t>
  </si>
  <si>
    <t>Pending</t>
  </si>
  <si>
    <t>Weighbridge maintenance</t>
  </si>
  <si>
    <t>Inspection</t>
  </si>
  <si>
    <t>Monthly</t>
  </si>
  <si>
    <t>Elevator &amp; Dumb waiter maintenance</t>
  </si>
  <si>
    <t>Weighbridge government stamping</t>
  </si>
  <si>
    <t>Outsource</t>
  </si>
  <si>
    <t>Over-head crane</t>
  </si>
  <si>
    <t>EV charging piles</t>
  </si>
  <si>
    <t>Tri-annually</t>
  </si>
  <si>
    <t>Bi-annually</t>
  </si>
  <si>
    <t>Completed</t>
  </si>
  <si>
    <t xml:space="preserve">Service </t>
  </si>
  <si>
    <t>Human body electrostatic discharge ball touch releaser device</t>
  </si>
  <si>
    <t>Deisel generators</t>
  </si>
  <si>
    <t>Substations</t>
  </si>
  <si>
    <t>Daily</t>
  </si>
  <si>
    <t>Inspection/ Service</t>
  </si>
  <si>
    <t>Completed qty</t>
  </si>
  <si>
    <t>Pending qty</t>
  </si>
  <si>
    <t>Completed percentage</t>
  </si>
  <si>
    <t>Converter stations</t>
  </si>
  <si>
    <t>Compact substations</t>
  </si>
  <si>
    <t>Onece in two years</t>
  </si>
  <si>
    <t>Earth resistence testing- entire terminal</t>
  </si>
  <si>
    <t>Earth resistence testing- DG yard &amp; fuel station</t>
  </si>
  <si>
    <t>Substations generators &amp; fire engine emission test</t>
  </si>
  <si>
    <t>Lux level testing</t>
  </si>
  <si>
    <t>Mechanical</t>
  </si>
  <si>
    <t>Building HVAC / air conditioning</t>
  </si>
  <si>
    <t>Daily; Monthly</t>
  </si>
  <si>
    <t>Multiple frequencies — refer to source ledger</t>
  </si>
  <si>
    <t>Checking external water supply distribution network</t>
  </si>
  <si>
    <t>Checking of STP functions and chemicals</t>
  </si>
  <si>
    <t>Weekly</t>
  </si>
  <si>
    <t>Checking of cold rooms</t>
  </si>
  <si>
    <t>Cleaning of water tanks</t>
  </si>
  <si>
    <t>Cold room refrigeration preventive service</t>
  </si>
  <si>
    <t>Cold room temperature monitoring</t>
  </si>
  <si>
    <t>Cold room unit functional inspection</t>
  </si>
  <si>
    <t>Compressor oil changing in water chiller</t>
  </si>
  <si>
    <t>Upon reaching 5000 running hours</t>
  </si>
  <si>
    <t>Cooling tower daily operating inspection</t>
  </si>
  <si>
    <t>Cooling tower inspections</t>
  </si>
  <si>
    <t>Cooling tower preventive maintenance</t>
  </si>
  <si>
    <t>Diesel fire pump test run</t>
  </si>
  <si>
    <t>Evacuation of oil separator’s connected workshop area</t>
  </si>
  <si>
    <t>Quarterly</t>
  </si>
  <si>
    <t>Evacuation of septic tanks connected manholes</t>
  </si>
  <si>
    <t>External wall painting</t>
  </si>
  <si>
    <t>Once in 3 years</t>
  </si>
  <si>
    <t>FCU / VRV / packaged / split AC preventive service</t>
  </si>
  <si>
    <t>FM-200 suppression cylinder and actuation inspection</t>
  </si>
  <si>
    <t>FM200 systems</t>
  </si>
  <si>
    <t>Fire alarm control panels operational condition inspection</t>
  </si>
  <si>
    <t>Fire alarm detection and fire-fighting system service</t>
  </si>
  <si>
    <t>Fire facilities checking and servicing</t>
  </si>
  <si>
    <t>Fire facilities in yards</t>
  </si>
  <si>
    <t>Fire protection equipment (detectors, alarms, and associated devices)</t>
  </si>
  <si>
    <t>Fire pump house / pump controls inspection</t>
  </si>
  <si>
    <t>General service and maintenance of fire hydrant</t>
  </si>
  <si>
    <t>Inspection of vertical walls</t>
  </si>
  <si>
    <t>MEP STP</t>
  </si>
  <si>
    <t>Oil separator waste evacuation</t>
  </si>
  <si>
    <t>Potable water storage tank level inspection</t>
  </si>
  <si>
    <t>Pressure meter testing</t>
  </si>
  <si>
    <t>Pump house inspection</t>
  </si>
  <si>
    <t>QC HVAC</t>
  </si>
  <si>
    <t>RTG air conditioning</t>
  </si>
  <si>
    <t>STP treated effluent laboratory testing</t>
  </si>
  <si>
    <t>Service and maintenance of FCUs</t>
  </si>
  <si>
    <t>Service and maintenance of VRV system</t>
  </si>
  <si>
    <t>Service and maintenance of cold rooms</t>
  </si>
  <si>
    <t>Service and maintenance of cooling towers</t>
  </si>
  <si>
    <t>Service and maintenance of package system</t>
  </si>
  <si>
    <t>Service and maintenance of split units in buildings</t>
  </si>
  <si>
    <t>Service and maintenance of split units in cranes</t>
  </si>
  <si>
    <t>Service and maintenance of water chiller</t>
  </si>
  <si>
    <t>Water chiller and pumps periodic inspection</t>
  </si>
  <si>
    <t>Water chiller daily operating parameters</t>
  </si>
  <si>
    <t>Water chiller inspections</t>
  </si>
  <si>
    <t>Water level checking</t>
  </si>
  <si>
    <t>Water storage tank wall condition inspection</t>
  </si>
  <si>
    <t>Water tank external painting</t>
  </si>
  <si>
    <t xml:space="preserve">Fire deisel engine service </t>
  </si>
  <si>
    <t>Civil</t>
  </si>
  <si>
    <t>Washing bay</t>
  </si>
  <si>
    <t>Portable water quality sampling and testing</t>
  </si>
  <si>
    <t>Bathymetric survey</t>
  </si>
  <si>
    <t>Bollard painting</t>
  </si>
  <si>
    <t>Building stability inspection</t>
  </si>
  <si>
    <t>Once in 2 years</t>
  </si>
  <si>
    <t>Ceiling structure &amp; sheets inspections</t>
  </si>
  <si>
    <t>2026-06-05</t>
  </si>
  <si>
    <t>2026-12-05</t>
  </si>
  <si>
    <t>2026-07-05</t>
  </si>
  <si>
    <t>Container yard / RTG track pavement condition inspection</t>
  </si>
  <si>
    <t>Dredging works</t>
  </si>
  <si>
    <t>No specific frequency</t>
  </si>
  <si>
    <t>External wall inspection</t>
  </si>
  <si>
    <t>Fixing bolts</t>
  </si>
  <si>
    <t>ILB inspection</t>
  </si>
  <si>
    <t>Internal wall inspection</t>
  </si>
  <si>
    <t>Manholes and draw pit cover</t>
  </si>
  <si>
    <t>Outdoor Fencing</t>
  </si>
  <si>
    <t>Outdoor steel ladders inspection</t>
  </si>
  <si>
    <t>PM line painting</t>
  </si>
  <si>
    <t>Plumbing inspections</t>
  </si>
  <si>
    <t>QC Rail Beam inspection</t>
  </si>
  <si>
    <t>Quay crane storm and tie-down anchor pit inspection</t>
  </si>
  <si>
    <t>Quay wall breast wall / concrete face visual inspection</t>
  </si>
  <si>
    <t>Quay wall settlement and horizontal displacement monitoring</t>
  </si>
  <si>
    <t>Quay wall structural underwater inspection</t>
  </si>
  <si>
    <t>RTG align marking</t>
  </si>
  <si>
    <t>RTG tracks inspection</t>
  </si>
  <si>
    <t>RTG tracks painting</t>
  </si>
  <si>
    <t>Road marking</t>
  </si>
  <si>
    <t>Road pavement and drainage condition inspection</t>
  </si>
  <si>
    <t>Roof inspections</t>
  </si>
  <si>
    <t>Settlement monitoring</t>
  </si>
  <si>
    <t>Stairs, landings and handrails inspection</t>
  </si>
  <si>
    <t>Visual inspection in tie down pits</t>
  </si>
  <si>
    <t>Visual inspection to grout layer</t>
  </si>
  <si>
    <t>Water leakages in roof slabs inspection</t>
  </si>
  <si>
    <t>Windows and doors inspections</t>
  </si>
  <si>
    <t>Yard marking painting</t>
  </si>
  <si>
    <t>Completion Progress (Recurring/ One time/ Continous)</t>
  </si>
  <si>
    <t>Completed in all terminal buildings</t>
  </si>
  <si>
    <t>Continous</t>
  </si>
  <si>
    <t>Not released required areas for maintenances and services from OPS</t>
  </si>
  <si>
    <t>Bollards facilities</t>
  </si>
  <si>
    <t>Caisson joint Inspection</t>
  </si>
  <si>
    <t>Fenders facilities</t>
  </si>
  <si>
    <t>PowerPit Qc</t>
  </si>
  <si>
    <t>Daily; Bi-annually</t>
  </si>
  <si>
    <t>Once in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</si>
</sst>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3334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610B-4972-498F-838E-F9875CC53DE9}">
  <dimension ref="B1:Q112"/>
  <sheetViews>
    <sheetView tabSelected="1" zoomScale="85" zoomScaleNormal="85" workbookViewId="0">
      <pane ySplit="1" topLeftCell="A88" activePane="bottomLeft" state="frozen"/>
      <selection pane="bottomLeft" activeCell="K9" sqref="K9"/>
    </sheetView>
  </sheetViews>
  <sheetFormatPr defaultRowHeight="14.4"/>
  <cols>
    <col min="1" max="2" width="8.88671875" style="3"/>
    <col min="3" max="3" width="14" style="4" bestFit="1" customWidth="1"/>
    <col min="4" max="4" width="13.33203125" style="3" customWidth="1"/>
    <col min="5" max="5" width="33.21875" style="4" customWidth="1"/>
    <col min="6" max="6" width="25.109375" style="4" customWidth="1"/>
    <col min="7" max="7" width="12" style="3" customWidth="1"/>
    <col min="8" max="8" width="11.44140625" style="3" customWidth="1"/>
    <col min="9" max="10" width="11.77734375" style="3" customWidth="1"/>
    <col min="11" max="11" width="12.109375" style="3" customWidth="1"/>
    <col min="12" max="12" width="17.5546875" style="3" customWidth="1"/>
    <col min="13" max="16" width="12.77734375" style="3" customWidth="1"/>
    <col min="17" max="17" width="68.109375" style="3" customWidth="1"/>
    <col min="18" max="16384" width="8.88671875" style="3"/>
  </cols>
  <sheetData>
    <row r="1" spans="2:17" ht="55.2">
      <c r="B1" s="1" t="s">
        <v>8</v>
      </c>
      <c r="C1" s="2" t="s">
        <v>0</v>
      </c>
      <c r="D1" s="2" t="s">
        <v>37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9</v>
      </c>
      <c r="K1" s="2" t="s">
        <v>17</v>
      </c>
      <c r="L1" s="2" t="s">
        <v>146</v>
      </c>
      <c r="M1" s="2" t="s">
        <v>6</v>
      </c>
      <c r="N1" s="2" t="s">
        <v>38</v>
      </c>
      <c r="O1" s="2" t="s">
        <v>39</v>
      </c>
      <c r="P1" s="2" t="s">
        <v>40</v>
      </c>
      <c r="Q1" s="2" t="s">
        <v>7</v>
      </c>
    </row>
    <row r="2" spans="2:17">
      <c r="B2" s="5" t="s">
        <v>10</v>
      </c>
      <c r="C2" s="6" t="s">
        <v>11</v>
      </c>
      <c r="D2" s="5" t="s">
        <v>13</v>
      </c>
      <c r="E2" s="6" t="s">
        <v>12</v>
      </c>
      <c r="F2" s="6" t="s">
        <v>14</v>
      </c>
      <c r="G2" s="5">
        <v>414</v>
      </c>
      <c r="H2" s="5" t="s">
        <v>15</v>
      </c>
      <c r="I2" s="5" t="s">
        <v>15</v>
      </c>
      <c r="J2" s="5" t="s">
        <v>16</v>
      </c>
      <c r="K2" s="5" t="s">
        <v>18</v>
      </c>
      <c r="L2" s="5" t="s">
        <v>19</v>
      </c>
      <c r="M2" s="5" t="s">
        <v>20</v>
      </c>
      <c r="N2" s="5">
        <v>345</v>
      </c>
      <c r="O2" s="5">
        <f>G2-N2</f>
        <v>69</v>
      </c>
      <c r="P2" s="8">
        <f>N2/G2</f>
        <v>0.83333333333333337</v>
      </c>
      <c r="Q2" s="5"/>
    </row>
    <row r="3" spans="2:17">
      <c r="B3" s="5" t="s">
        <v>10</v>
      </c>
      <c r="C3" s="6" t="s">
        <v>11</v>
      </c>
      <c r="D3" s="5" t="s">
        <v>22</v>
      </c>
      <c r="E3" s="6" t="s">
        <v>21</v>
      </c>
      <c r="F3" s="6" t="s">
        <v>23</v>
      </c>
      <c r="G3" s="5">
        <v>3</v>
      </c>
      <c r="H3" s="7">
        <v>46309</v>
      </c>
      <c r="I3" s="7">
        <f>H3+31</f>
        <v>46340</v>
      </c>
      <c r="J3" s="5" t="s">
        <v>16</v>
      </c>
      <c r="K3" s="5" t="s">
        <v>26</v>
      </c>
      <c r="L3" s="5" t="s">
        <v>19</v>
      </c>
      <c r="M3" s="5" t="s">
        <v>31</v>
      </c>
      <c r="N3" s="5">
        <v>3</v>
      </c>
      <c r="O3" s="5">
        <v>0</v>
      </c>
      <c r="P3" s="8">
        <f>N3/G3</f>
        <v>1</v>
      </c>
      <c r="Q3" s="5"/>
    </row>
    <row r="4" spans="2:17">
      <c r="B4" s="5" t="s">
        <v>10</v>
      </c>
      <c r="C4" s="6" t="s">
        <v>11</v>
      </c>
      <c r="D4" s="5" t="s">
        <v>13</v>
      </c>
      <c r="E4" s="6" t="s">
        <v>25</v>
      </c>
      <c r="F4" s="6" t="s">
        <v>14</v>
      </c>
      <c r="G4" s="5">
        <v>3</v>
      </c>
      <c r="H4" s="7">
        <v>46273</v>
      </c>
      <c r="I4" s="7">
        <f>H4+365</f>
        <v>46638</v>
      </c>
      <c r="J4" s="5" t="s">
        <v>16</v>
      </c>
      <c r="K4" s="5" t="s">
        <v>26</v>
      </c>
      <c r="L4" s="5" t="s">
        <v>19</v>
      </c>
      <c r="M4" s="5" t="s">
        <v>31</v>
      </c>
      <c r="N4" s="5">
        <v>3</v>
      </c>
      <c r="O4" s="5">
        <v>0</v>
      </c>
      <c r="P4" s="8">
        <f>N4/G4</f>
        <v>1</v>
      </c>
      <c r="Q4" s="5"/>
    </row>
    <row r="5" spans="2:17">
      <c r="B5" s="5" t="s">
        <v>10</v>
      </c>
      <c r="C5" s="6" t="s">
        <v>11</v>
      </c>
      <c r="D5" s="5" t="s">
        <v>22</v>
      </c>
      <c r="E5" s="6" t="s">
        <v>24</v>
      </c>
      <c r="F5" s="6" t="s">
        <v>23</v>
      </c>
      <c r="G5" s="5">
        <v>3</v>
      </c>
      <c r="H5" s="7">
        <v>46296</v>
      </c>
      <c r="I5" s="7">
        <f>H5+31</f>
        <v>46327</v>
      </c>
      <c r="J5" s="5" t="s">
        <v>16</v>
      </c>
      <c r="K5" s="5" t="s">
        <v>26</v>
      </c>
      <c r="L5" s="5" t="s">
        <v>19</v>
      </c>
      <c r="M5" s="5" t="s">
        <v>31</v>
      </c>
      <c r="N5" s="5">
        <v>3</v>
      </c>
      <c r="O5" s="5">
        <v>0</v>
      </c>
      <c r="P5" s="8">
        <f t="shared" ref="P5:P13" si="0">N5/G5</f>
        <v>1</v>
      </c>
      <c r="Q5" s="5"/>
    </row>
    <row r="6" spans="2:17">
      <c r="B6" s="5" t="s">
        <v>10</v>
      </c>
      <c r="C6" s="6" t="s">
        <v>11</v>
      </c>
      <c r="D6" s="5" t="s">
        <v>13</v>
      </c>
      <c r="E6" s="6" t="s">
        <v>24</v>
      </c>
      <c r="F6" s="6" t="s">
        <v>23</v>
      </c>
      <c r="G6" s="5">
        <v>3</v>
      </c>
      <c r="H6" s="7">
        <v>46296</v>
      </c>
      <c r="I6" s="7">
        <f>H6+31</f>
        <v>46327</v>
      </c>
      <c r="J6" s="5" t="s">
        <v>16</v>
      </c>
      <c r="K6" s="5" t="s">
        <v>26</v>
      </c>
      <c r="L6" s="5" t="s">
        <v>19</v>
      </c>
      <c r="M6" s="5" t="s">
        <v>31</v>
      </c>
      <c r="N6" s="5">
        <v>3</v>
      </c>
      <c r="O6" s="5">
        <v>0</v>
      </c>
      <c r="P6" s="8">
        <f t="shared" si="0"/>
        <v>1</v>
      </c>
      <c r="Q6" s="5"/>
    </row>
    <row r="7" spans="2:17">
      <c r="B7" s="5" t="s">
        <v>10</v>
      </c>
      <c r="C7" s="6" t="s">
        <v>11</v>
      </c>
      <c r="D7" s="5" t="s">
        <v>22</v>
      </c>
      <c r="E7" s="6" t="s">
        <v>27</v>
      </c>
      <c r="F7" s="6" t="s">
        <v>23</v>
      </c>
      <c r="G7" s="5">
        <v>2</v>
      </c>
      <c r="H7" s="7">
        <v>46292</v>
      </c>
      <c r="I7" s="7">
        <f>H7+30</f>
        <v>46322</v>
      </c>
      <c r="J7" s="5" t="s">
        <v>16</v>
      </c>
      <c r="K7" s="5" t="s">
        <v>26</v>
      </c>
      <c r="L7" s="5" t="s">
        <v>19</v>
      </c>
      <c r="M7" s="5" t="s">
        <v>31</v>
      </c>
      <c r="N7" s="5">
        <v>2</v>
      </c>
      <c r="O7" s="5">
        <v>0</v>
      </c>
      <c r="P7" s="8">
        <f t="shared" si="0"/>
        <v>1</v>
      </c>
      <c r="Q7" s="5"/>
    </row>
    <row r="8" spans="2:17">
      <c r="B8" s="5" t="s">
        <v>10</v>
      </c>
      <c r="C8" s="6" t="s">
        <v>11</v>
      </c>
      <c r="D8" s="5" t="s">
        <v>13</v>
      </c>
      <c r="E8" s="6" t="s">
        <v>27</v>
      </c>
      <c r="F8" s="6" t="s">
        <v>30</v>
      </c>
      <c r="G8" s="5">
        <v>2</v>
      </c>
      <c r="H8" s="7">
        <v>46295</v>
      </c>
      <c r="I8" s="7">
        <f>H8+182</f>
        <v>46477</v>
      </c>
      <c r="J8" s="5" t="s">
        <v>16</v>
      </c>
      <c r="K8" s="5" t="s">
        <v>26</v>
      </c>
      <c r="L8" s="5" t="s">
        <v>19</v>
      </c>
      <c r="M8" s="5" t="s">
        <v>31</v>
      </c>
      <c r="N8" s="5">
        <v>2</v>
      </c>
      <c r="O8" s="5">
        <v>0</v>
      </c>
      <c r="P8" s="8">
        <f t="shared" si="0"/>
        <v>1</v>
      </c>
      <c r="Q8" s="5"/>
    </row>
    <row r="9" spans="2:17">
      <c r="B9" s="5" t="s">
        <v>10</v>
      </c>
      <c r="C9" s="6" t="s">
        <v>11</v>
      </c>
      <c r="D9" s="5" t="s">
        <v>13</v>
      </c>
      <c r="E9" s="6" t="s">
        <v>28</v>
      </c>
      <c r="F9" s="6" t="s">
        <v>29</v>
      </c>
      <c r="G9" s="5">
        <v>14</v>
      </c>
      <c r="H9" s="5" t="s">
        <v>15</v>
      </c>
      <c r="I9" s="5" t="s">
        <v>15</v>
      </c>
      <c r="J9" s="5" t="s">
        <v>16</v>
      </c>
      <c r="K9" s="5" t="s">
        <v>18</v>
      </c>
      <c r="L9" s="5" t="s">
        <v>19</v>
      </c>
      <c r="M9" s="5" t="s">
        <v>31</v>
      </c>
      <c r="N9" s="5">
        <v>14</v>
      </c>
      <c r="O9" s="5">
        <v>0</v>
      </c>
      <c r="P9" s="8">
        <f t="shared" si="0"/>
        <v>1</v>
      </c>
      <c r="Q9" s="5"/>
    </row>
    <row r="10" spans="2:17" ht="28.8">
      <c r="B10" s="5" t="s">
        <v>10</v>
      </c>
      <c r="C10" s="6" t="s">
        <v>11</v>
      </c>
      <c r="D10" s="5" t="s">
        <v>32</v>
      </c>
      <c r="E10" s="6" t="s">
        <v>33</v>
      </c>
      <c r="F10" s="6" t="s">
        <v>30</v>
      </c>
      <c r="G10" s="5">
        <v>9</v>
      </c>
      <c r="H10" s="5" t="s">
        <v>15</v>
      </c>
      <c r="I10" s="5" t="s">
        <v>15</v>
      </c>
      <c r="J10" s="5" t="s">
        <v>16</v>
      </c>
      <c r="K10" s="5" t="s">
        <v>18</v>
      </c>
      <c r="L10" s="5" t="s">
        <v>19</v>
      </c>
      <c r="M10" s="5" t="s">
        <v>31</v>
      </c>
      <c r="N10" s="5">
        <v>9</v>
      </c>
      <c r="O10" s="5">
        <v>0</v>
      </c>
      <c r="P10" s="8">
        <f t="shared" si="0"/>
        <v>1</v>
      </c>
      <c r="Q10" s="5"/>
    </row>
    <row r="11" spans="2:17">
      <c r="B11" s="5" t="s">
        <v>10</v>
      </c>
      <c r="C11" s="6" t="s">
        <v>11</v>
      </c>
      <c r="D11" s="5" t="s">
        <v>22</v>
      </c>
      <c r="E11" s="6" t="s">
        <v>35</v>
      </c>
      <c r="F11" s="6" t="s">
        <v>36</v>
      </c>
      <c r="G11" s="5">
        <v>3</v>
      </c>
      <c r="H11" s="5" t="s">
        <v>15</v>
      </c>
      <c r="I11" s="5" t="s">
        <v>15</v>
      </c>
      <c r="J11" s="5" t="s">
        <v>16</v>
      </c>
      <c r="K11" s="5" t="s">
        <v>18</v>
      </c>
      <c r="L11" s="5" t="s">
        <v>19</v>
      </c>
      <c r="M11" s="5" t="s">
        <v>31</v>
      </c>
      <c r="N11" s="5"/>
      <c r="O11" s="5"/>
      <c r="P11" s="8"/>
      <c r="Q11" s="5"/>
    </row>
    <row r="12" spans="2:17">
      <c r="B12" s="5" t="s">
        <v>10</v>
      </c>
      <c r="C12" s="6" t="s">
        <v>11</v>
      </c>
      <c r="D12" s="5" t="s">
        <v>13</v>
      </c>
      <c r="E12" s="6" t="s">
        <v>34</v>
      </c>
      <c r="F12" s="6" t="s">
        <v>14</v>
      </c>
      <c r="G12" s="5">
        <v>3</v>
      </c>
      <c r="H12" s="7">
        <v>45881</v>
      </c>
      <c r="I12" s="7">
        <v>46246</v>
      </c>
      <c r="J12" s="5" t="s">
        <v>16</v>
      </c>
      <c r="K12" s="5" t="s">
        <v>18</v>
      </c>
      <c r="L12" s="5" t="s">
        <v>19</v>
      </c>
      <c r="M12" s="5" t="s">
        <v>31</v>
      </c>
      <c r="N12" s="5">
        <v>3</v>
      </c>
      <c r="O12" s="5">
        <v>0</v>
      </c>
      <c r="P12" s="8">
        <f t="shared" si="0"/>
        <v>1</v>
      </c>
      <c r="Q12" s="5"/>
    </row>
    <row r="13" spans="2:17">
      <c r="B13" s="5" t="s">
        <v>10</v>
      </c>
      <c r="C13" s="6" t="s">
        <v>11</v>
      </c>
      <c r="D13" s="5" t="s">
        <v>32</v>
      </c>
      <c r="E13" s="6" t="s">
        <v>35</v>
      </c>
      <c r="F13" s="6" t="s">
        <v>43</v>
      </c>
      <c r="G13" s="5">
        <v>3</v>
      </c>
      <c r="H13" s="7">
        <v>45780</v>
      </c>
      <c r="I13" s="7">
        <f>H13+730</f>
        <v>46510</v>
      </c>
      <c r="J13" s="5" t="s">
        <v>16</v>
      </c>
      <c r="K13" s="5" t="s">
        <v>26</v>
      </c>
      <c r="L13" s="5" t="s">
        <v>19</v>
      </c>
      <c r="M13" s="5" t="s">
        <v>31</v>
      </c>
      <c r="N13" s="5">
        <v>3</v>
      </c>
      <c r="O13" s="5">
        <v>0</v>
      </c>
      <c r="P13" s="8">
        <f t="shared" si="0"/>
        <v>1</v>
      </c>
      <c r="Q13" s="5"/>
    </row>
    <row r="14" spans="2:17">
      <c r="B14" s="5" t="s">
        <v>10</v>
      </c>
      <c r="C14" s="6" t="s">
        <v>11</v>
      </c>
      <c r="D14" s="5" t="s">
        <v>32</v>
      </c>
      <c r="E14" s="6" t="s">
        <v>41</v>
      </c>
      <c r="F14" s="6" t="s">
        <v>14</v>
      </c>
      <c r="G14" s="5">
        <v>4</v>
      </c>
      <c r="H14" s="7">
        <v>45493</v>
      </c>
      <c r="I14" s="7">
        <f>H14+365</f>
        <v>45858</v>
      </c>
      <c r="J14" s="5" t="s">
        <v>16</v>
      </c>
      <c r="K14" s="5" t="s">
        <v>18</v>
      </c>
      <c r="L14" s="5" t="s">
        <v>148</v>
      </c>
      <c r="M14" s="5" t="s">
        <v>20</v>
      </c>
      <c r="N14" s="5">
        <v>4</v>
      </c>
      <c r="O14" s="5">
        <v>4</v>
      </c>
      <c r="P14" s="8">
        <v>0</v>
      </c>
      <c r="Q14" s="5" t="s">
        <v>149</v>
      </c>
    </row>
    <row r="15" spans="2:17">
      <c r="B15" s="5" t="s">
        <v>10</v>
      </c>
      <c r="C15" s="6" t="s">
        <v>11</v>
      </c>
      <c r="D15" s="5" t="s">
        <v>32</v>
      </c>
      <c r="E15" s="6" t="s">
        <v>42</v>
      </c>
      <c r="F15" s="6" t="s">
        <v>14</v>
      </c>
      <c r="G15" s="5">
        <v>2</v>
      </c>
      <c r="H15" s="7">
        <v>46197</v>
      </c>
      <c r="I15" s="7">
        <f>H15+365</f>
        <v>46562</v>
      </c>
      <c r="J15" s="5" t="s">
        <v>16</v>
      </c>
      <c r="K15" s="5" t="s">
        <v>26</v>
      </c>
      <c r="L15" s="5"/>
      <c r="M15" s="5"/>
      <c r="N15" s="5"/>
      <c r="O15" s="5"/>
      <c r="P15" s="5"/>
      <c r="Q15" s="5"/>
    </row>
    <row r="16" spans="2:17" ht="31.2" customHeight="1">
      <c r="B16" s="5" t="s">
        <v>10</v>
      </c>
      <c r="C16" s="6" t="s">
        <v>11</v>
      </c>
      <c r="D16" s="5" t="s">
        <v>13</v>
      </c>
      <c r="E16" s="6" t="s">
        <v>44</v>
      </c>
      <c r="F16" s="6" t="s">
        <v>14</v>
      </c>
      <c r="G16" s="5">
        <v>1</v>
      </c>
      <c r="H16" s="7">
        <v>46042</v>
      </c>
      <c r="I16" s="7">
        <f>H16+365</f>
        <v>46407</v>
      </c>
      <c r="J16" s="5" t="s">
        <v>16</v>
      </c>
      <c r="K16" s="5" t="s">
        <v>26</v>
      </c>
      <c r="L16" s="5"/>
      <c r="M16" s="5"/>
      <c r="N16" s="5">
        <v>1</v>
      </c>
      <c r="O16" s="5">
        <v>0</v>
      </c>
      <c r="P16" s="5"/>
      <c r="Q16" s="5"/>
    </row>
    <row r="17" spans="2:17" ht="28.8">
      <c r="B17" s="5" t="s">
        <v>10</v>
      </c>
      <c r="C17" s="6" t="s">
        <v>11</v>
      </c>
      <c r="D17" s="5" t="s">
        <v>13</v>
      </c>
      <c r="E17" s="6" t="s">
        <v>45</v>
      </c>
      <c r="F17" s="6" t="s">
        <v>30</v>
      </c>
      <c r="G17" s="5">
        <v>1</v>
      </c>
      <c r="H17" s="7">
        <v>46189</v>
      </c>
      <c r="I17" s="7">
        <f>H17+182</f>
        <v>46371</v>
      </c>
      <c r="J17" s="5" t="s">
        <v>16</v>
      </c>
      <c r="K17" s="5" t="s">
        <v>26</v>
      </c>
      <c r="L17" s="5" t="s">
        <v>19</v>
      </c>
      <c r="M17" s="5"/>
      <c r="N17" s="5">
        <v>1</v>
      </c>
      <c r="O17" s="5">
        <v>0</v>
      </c>
      <c r="P17" s="5"/>
      <c r="Q17" s="5"/>
    </row>
    <row r="18" spans="2:17" ht="28.8">
      <c r="B18" s="5" t="s">
        <v>10</v>
      </c>
      <c r="C18" s="6" t="s">
        <v>11</v>
      </c>
      <c r="D18" s="5" t="s">
        <v>13</v>
      </c>
      <c r="E18" s="6" t="s">
        <v>46</v>
      </c>
      <c r="F18" s="6" t="s">
        <v>14</v>
      </c>
      <c r="G18" s="5">
        <v>4</v>
      </c>
      <c r="H18" s="7">
        <v>46316</v>
      </c>
      <c r="I18" s="7">
        <f>H18+365</f>
        <v>46681</v>
      </c>
      <c r="J18" s="5" t="s">
        <v>16</v>
      </c>
      <c r="K18" s="5" t="s">
        <v>26</v>
      </c>
      <c r="L18" s="5" t="s">
        <v>19</v>
      </c>
      <c r="M18" s="5"/>
      <c r="N18" s="5">
        <v>4</v>
      </c>
      <c r="O18" s="5">
        <v>0</v>
      </c>
      <c r="P18" s="8">
        <v>1</v>
      </c>
      <c r="Q18" s="5"/>
    </row>
    <row r="19" spans="2:17">
      <c r="B19" s="5" t="s">
        <v>10</v>
      </c>
      <c r="C19" s="6" t="s">
        <v>11</v>
      </c>
      <c r="D19" s="5" t="s">
        <v>13</v>
      </c>
      <c r="E19" s="6" t="s">
        <v>47</v>
      </c>
      <c r="F19" s="6" t="s">
        <v>14</v>
      </c>
      <c r="G19" s="5"/>
      <c r="H19" s="5" t="s">
        <v>15</v>
      </c>
      <c r="I19" s="5" t="s">
        <v>15</v>
      </c>
      <c r="J19" s="5" t="s">
        <v>16</v>
      </c>
      <c r="K19" s="5" t="s">
        <v>18</v>
      </c>
      <c r="L19" s="5" t="s">
        <v>19</v>
      </c>
      <c r="M19" s="5" t="s">
        <v>31</v>
      </c>
      <c r="N19" s="5"/>
      <c r="O19" s="5"/>
      <c r="P19" s="5"/>
      <c r="Q19" s="5" t="s">
        <v>147</v>
      </c>
    </row>
    <row r="20" spans="2:17">
      <c r="B20" s="9" t="s">
        <v>10</v>
      </c>
      <c r="C20" s="10" t="s">
        <v>48</v>
      </c>
      <c r="D20" s="9" t="s">
        <v>22</v>
      </c>
      <c r="E20" s="10" t="s">
        <v>49</v>
      </c>
      <c r="F20" s="10" t="s">
        <v>36</v>
      </c>
      <c r="G20" s="9">
        <v>414</v>
      </c>
      <c r="H20" s="9"/>
      <c r="I20" s="9"/>
      <c r="J20" s="9"/>
      <c r="K20" s="9" t="s">
        <v>18</v>
      </c>
      <c r="L20" s="9"/>
      <c r="M20" s="9"/>
      <c r="N20" s="9"/>
      <c r="O20" s="9"/>
      <c r="P20" s="9"/>
      <c r="Q20" s="9"/>
    </row>
    <row r="21" spans="2:17" ht="28.8">
      <c r="B21" s="9" t="s">
        <v>10</v>
      </c>
      <c r="C21" s="10" t="s">
        <v>48</v>
      </c>
      <c r="D21" s="9" t="s">
        <v>13</v>
      </c>
      <c r="E21" s="10" t="s">
        <v>49</v>
      </c>
      <c r="F21" s="10" t="s">
        <v>51</v>
      </c>
      <c r="G21" s="9">
        <v>414</v>
      </c>
      <c r="H21" s="9"/>
      <c r="I21" s="9"/>
      <c r="J21" s="9"/>
      <c r="K21" s="9" t="s">
        <v>18</v>
      </c>
      <c r="L21" s="9"/>
      <c r="M21" s="9"/>
      <c r="N21" s="9"/>
      <c r="O21" s="9"/>
      <c r="P21" s="9"/>
      <c r="Q21" s="9"/>
    </row>
    <row r="22" spans="2:17" ht="28.8">
      <c r="B22" s="9" t="s">
        <v>10</v>
      </c>
      <c r="C22" s="10" t="s">
        <v>48</v>
      </c>
      <c r="D22" s="9" t="s">
        <v>22</v>
      </c>
      <c r="E22" s="10" t="s">
        <v>52</v>
      </c>
      <c r="F22" s="10" t="s">
        <v>14</v>
      </c>
      <c r="G22" s="9"/>
      <c r="H22" s="9"/>
      <c r="I22" s="9"/>
      <c r="J22" s="9"/>
      <c r="K22" s="9" t="s">
        <v>18</v>
      </c>
      <c r="L22" s="9"/>
      <c r="M22" s="9"/>
      <c r="N22" s="9"/>
      <c r="O22" s="9"/>
      <c r="P22" s="9"/>
      <c r="Q22" s="9"/>
    </row>
    <row r="23" spans="2:17" ht="28.8">
      <c r="B23" s="9" t="s">
        <v>10</v>
      </c>
      <c r="C23" s="10" t="s">
        <v>48</v>
      </c>
      <c r="D23" s="9" t="s">
        <v>22</v>
      </c>
      <c r="E23" s="10" t="s">
        <v>53</v>
      </c>
      <c r="F23" s="10" t="s">
        <v>54</v>
      </c>
      <c r="G23" s="9"/>
      <c r="H23" s="9"/>
      <c r="I23" s="9"/>
      <c r="J23" s="9"/>
      <c r="K23" s="9" t="s">
        <v>18</v>
      </c>
      <c r="L23" s="9"/>
      <c r="M23" s="9"/>
      <c r="N23" s="9"/>
      <c r="O23" s="9"/>
      <c r="P23" s="9"/>
      <c r="Q23" s="9"/>
    </row>
    <row r="24" spans="2:17">
      <c r="B24" s="9" t="s">
        <v>10</v>
      </c>
      <c r="C24" s="10" t="s">
        <v>48</v>
      </c>
      <c r="D24" s="9" t="s">
        <v>22</v>
      </c>
      <c r="E24" s="10" t="s">
        <v>55</v>
      </c>
      <c r="F24" s="10" t="s">
        <v>36</v>
      </c>
      <c r="G24" s="9"/>
      <c r="H24" s="9"/>
      <c r="I24" s="9"/>
      <c r="J24" s="9"/>
      <c r="K24" s="9" t="s">
        <v>18</v>
      </c>
      <c r="L24" s="9"/>
      <c r="M24" s="9"/>
      <c r="N24" s="9"/>
      <c r="O24" s="9"/>
      <c r="P24" s="9"/>
      <c r="Q24" s="9"/>
    </row>
    <row r="25" spans="2:17">
      <c r="B25" s="9" t="s">
        <v>10</v>
      </c>
      <c r="C25" s="10" t="s">
        <v>48</v>
      </c>
      <c r="D25" s="9" t="s">
        <v>13</v>
      </c>
      <c r="E25" s="10" t="s">
        <v>56</v>
      </c>
      <c r="F25" s="10" t="s">
        <v>111</v>
      </c>
      <c r="G25" s="9"/>
      <c r="H25" s="9"/>
      <c r="I25" s="9"/>
      <c r="J25" s="9"/>
      <c r="K25" s="9" t="s">
        <v>26</v>
      </c>
      <c r="L25" s="9"/>
      <c r="M25" s="9"/>
      <c r="N25" s="9"/>
      <c r="O25" s="9"/>
      <c r="P25" s="9"/>
      <c r="Q25" s="9"/>
    </row>
    <row r="26" spans="2:17" ht="28.8">
      <c r="B26" s="9" t="s">
        <v>10</v>
      </c>
      <c r="C26" s="10" t="s">
        <v>48</v>
      </c>
      <c r="D26" s="9" t="s">
        <v>13</v>
      </c>
      <c r="E26" s="10" t="s">
        <v>57</v>
      </c>
      <c r="F26" s="10" t="s">
        <v>29</v>
      </c>
      <c r="G26" s="9"/>
      <c r="H26" s="9"/>
      <c r="I26" s="9"/>
      <c r="J26" s="9"/>
      <c r="K26" s="9" t="s">
        <v>18</v>
      </c>
      <c r="L26" s="9"/>
      <c r="M26" s="9"/>
      <c r="N26" s="9"/>
      <c r="O26" s="9"/>
      <c r="P26" s="9"/>
      <c r="Q26" s="9"/>
    </row>
    <row r="27" spans="2:17">
      <c r="B27" s="9" t="s">
        <v>10</v>
      </c>
      <c r="C27" s="10" t="s">
        <v>48</v>
      </c>
      <c r="D27" s="9" t="s">
        <v>22</v>
      </c>
      <c r="E27" s="10" t="s">
        <v>58</v>
      </c>
      <c r="F27" s="10" t="s">
        <v>36</v>
      </c>
      <c r="G27" s="9"/>
      <c r="H27" s="9"/>
      <c r="I27" s="9"/>
      <c r="J27" s="9"/>
      <c r="K27" s="9" t="s">
        <v>18</v>
      </c>
      <c r="L27" s="9"/>
      <c r="M27" s="9"/>
      <c r="N27" s="9"/>
      <c r="O27" s="9"/>
      <c r="P27" s="9"/>
      <c r="Q27" s="9"/>
    </row>
    <row r="28" spans="2:17">
      <c r="B28" s="9" t="s">
        <v>10</v>
      </c>
      <c r="C28" s="10" t="s">
        <v>48</v>
      </c>
      <c r="D28" s="9" t="s">
        <v>22</v>
      </c>
      <c r="E28" s="10" t="s">
        <v>59</v>
      </c>
      <c r="F28" s="10" t="s">
        <v>23</v>
      </c>
      <c r="G28" s="9"/>
      <c r="H28" s="9"/>
      <c r="I28" s="9"/>
      <c r="J28" s="9"/>
      <c r="K28" s="9" t="s">
        <v>18</v>
      </c>
      <c r="L28" s="9"/>
      <c r="M28" s="9"/>
      <c r="N28" s="9"/>
      <c r="O28" s="9"/>
      <c r="P28" s="9"/>
      <c r="Q28" s="9"/>
    </row>
    <row r="29" spans="2:17" ht="28.8">
      <c r="B29" s="9" t="s">
        <v>10</v>
      </c>
      <c r="C29" s="10" t="s">
        <v>48</v>
      </c>
      <c r="D29" s="9" t="s">
        <v>22</v>
      </c>
      <c r="E29" s="10" t="s">
        <v>60</v>
      </c>
      <c r="F29" s="10" t="s">
        <v>61</v>
      </c>
      <c r="G29" s="9"/>
      <c r="H29" s="9"/>
      <c r="I29" s="9"/>
      <c r="J29" s="9"/>
      <c r="K29" s="9" t="s">
        <v>18</v>
      </c>
      <c r="L29" s="9"/>
      <c r="M29" s="9"/>
      <c r="N29" s="9"/>
      <c r="O29" s="9"/>
      <c r="P29" s="9"/>
      <c r="Q29" s="9"/>
    </row>
    <row r="30" spans="2:17">
      <c r="B30" s="9" t="s">
        <v>10</v>
      </c>
      <c r="C30" s="10" t="s">
        <v>48</v>
      </c>
      <c r="D30" s="9" t="s">
        <v>22</v>
      </c>
      <c r="E30" s="10" t="s">
        <v>62</v>
      </c>
      <c r="F30" s="10" t="s">
        <v>36</v>
      </c>
      <c r="G30" s="9"/>
      <c r="H30" s="9"/>
      <c r="I30" s="9"/>
      <c r="J30" s="9"/>
      <c r="K30" s="9" t="s">
        <v>18</v>
      </c>
      <c r="L30" s="9"/>
      <c r="M30" s="9"/>
      <c r="N30" s="9"/>
      <c r="O30" s="9"/>
      <c r="P30" s="9"/>
      <c r="Q30" s="9"/>
    </row>
    <row r="31" spans="2:17">
      <c r="B31" s="9" t="s">
        <v>10</v>
      </c>
      <c r="C31" s="10" t="s">
        <v>48</v>
      </c>
      <c r="D31" s="9" t="s">
        <v>22</v>
      </c>
      <c r="E31" s="10" t="s">
        <v>63</v>
      </c>
      <c r="F31" s="10" t="s">
        <v>36</v>
      </c>
      <c r="G31" s="9"/>
      <c r="H31" s="9"/>
      <c r="I31" s="9"/>
      <c r="J31" s="9"/>
      <c r="K31" s="9" t="s">
        <v>18</v>
      </c>
      <c r="L31" s="9"/>
      <c r="M31" s="9"/>
      <c r="N31" s="9"/>
      <c r="O31" s="9"/>
      <c r="P31" s="9"/>
      <c r="Q31" s="9"/>
    </row>
    <row r="32" spans="2:17">
      <c r="B32" s="9" t="s">
        <v>10</v>
      </c>
      <c r="C32" s="10" t="s">
        <v>48</v>
      </c>
      <c r="D32" s="9" t="s">
        <v>13</v>
      </c>
      <c r="E32" s="10" t="s">
        <v>64</v>
      </c>
      <c r="F32" s="10" t="s">
        <v>29</v>
      </c>
      <c r="G32" s="9"/>
      <c r="H32" s="9"/>
      <c r="I32" s="9"/>
      <c r="J32" s="9"/>
      <c r="K32" s="9" t="s">
        <v>18</v>
      </c>
      <c r="L32" s="9"/>
      <c r="M32" s="9"/>
      <c r="N32" s="9"/>
      <c r="O32" s="9"/>
      <c r="P32" s="9"/>
      <c r="Q32" s="9"/>
    </row>
    <row r="33" spans="2:17">
      <c r="B33" s="9" t="s">
        <v>10</v>
      </c>
      <c r="C33" s="10" t="s">
        <v>48</v>
      </c>
      <c r="D33" s="9" t="s">
        <v>22</v>
      </c>
      <c r="E33" s="10" t="s">
        <v>65</v>
      </c>
      <c r="F33" s="10" t="s">
        <v>23</v>
      </c>
      <c r="G33" s="9"/>
      <c r="H33" s="9"/>
      <c r="I33" s="9"/>
      <c r="J33" s="9"/>
      <c r="K33" s="9" t="s">
        <v>18</v>
      </c>
      <c r="L33" s="9"/>
      <c r="M33" s="9"/>
      <c r="N33" s="9"/>
      <c r="O33" s="9"/>
      <c r="P33" s="9"/>
      <c r="Q33" s="9"/>
    </row>
    <row r="34" spans="2:17">
      <c r="B34" s="9" t="s">
        <v>10</v>
      </c>
      <c r="C34" s="10" t="s">
        <v>48</v>
      </c>
      <c r="D34" s="9" t="s">
        <v>13</v>
      </c>
      <c r="E34" s="10" t="s">
        <v>104</v>
      </c>
      <c r="F34" s="10" t="s">
        <v>14</v>
      </c>
      <c r="G34" s="9">
        <v>1</v>
      </c>
      <c r="H34" s="11">
        <v>46310</v>
      </c>
      <c r="I34" s="11">
        <f>H34+365</f>
        <v>46675</v>
      </c>
      <c r="J34" s="9"/>
      <c r="K34" s="9" t="s">
        <v>26</v>
      </c>
      <c r="L34" s="9"/>
      <c r="M34" s="9"/>
      <c r="N34" s="9"/>
      <c r="O34" s="9"/>
      <c r="P34" s="9"/>
      <c r="Q34" s="9"/>
    </row>
    <row r="35" spans="2:17" ht="28.8">
      <c r="B35" s="9" t="s">
        <v>10</v>
      </c>
      <c r="C35" s="10" t="s">
        <v>48</v>
      </c>
      <c r="D35" s="9" t="s">
        <v>13</v>
      </c>
      <c r="E35" s="10" t="s">
        <v>66</v>
      </c>
      <c r="F35" s="10" t="s">
        <v>67</v>
      </c>
      <c r="G35" s="9">
        <v>2</v>
      </c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ht="28.8">
      <c r="B36" s="9" t="s">
        <v>10</v>
      </c>
      <c r="C36" s="10" t="s">
        <v>48</v>
      </c>
      <c r="D36" s="9" t="s">
        <v>13</v>
      </c>
      <c r="E36" s="10" t="s">
        <v>68</v>
      </c>
      <c r="F36" s="10" t="s">
        <v>67</v>
      </c>
      <c r="G36" s="9">
        <v>6</v>
      </c>
      <c r="H36" s="11">
        <v>46302</v>
      </c>
      <c r="I36" s="11">
        <f>H36+90</f>
        <v>46392</v>
      </c>
      <c r="J36" s="9"/>
      <c r="K36" s="9" t="s">
        <v>26</v>
      </c>
      <c r="L36" s="9"/>
      <c r="M36" s="9"/>
      <c r="N36" s="9"/>
      <c r="O36" s="9"/>
      <c r="P36" s="9"/>
      <c r="Q36" s="9"/>
    </row>
    <row r="37" spans="2:17" ht="28.8">
      <c r="B37" s="9" t="s">
        <v>10</v>
      </c>
      <c r="C37" s="10" t="s">
        <v>48</v>
      </c>
      <c r="D37" s="9" t="s">
        <v>13</v>
      </c>
      <c r="E37" s="10" t="s">
        <v>71</v>
      </c>
      <c r="F37" s="10" t="s">
        <v>29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ht="28.8">
      <c r="B38" s="9" t="s">
        <v>10</v>
      </c>
      <c r="C38" s="10" t="s">
        <v>48</v>
      </c>
      <c r="D38" s="9" t="s">
        <v>22</v>
      </c>
      <c r="E38" s="10" t="s">
        <v>72</v>
      </c>
      <c r="F38" s="10" t="s">
        <v>30</v>
      </c>
      <c r="G38" s="9"/>
      <c r="H38" s="9"/>
      <c r="I38" s="9"/>
      <c r="J38" s="9"/>
      <c r="K38" s="9" t="s">
        <v>26</v>
      </c>
      <c r="L38" s="9"/>
      <c r="M38" s="9"/>
      <c r="N38" s="9"/>
      <c r="O38" s="9"/>
      <c r="P38" s="9"/>
      <c r="Q38" s="9"/>
    </row>
    <row r="39" spans="2:17">
      <c r="B39" s="9" t="s">
        <v>10</v>
      </c>
      <c r="C39" s="10" t="s">
        <v>48</v>
      </c>
      <c r="D39" s="9" t="s">
        <v>22</v>
      </c>
      <c r="E39" s="10" t="s">
        <v>73</v>
      </c>
      <c r="F39" s="10" t="s">
        <v>30</v>
      </c>
      <c r="G39" s="9"/>
      <c r="H39" s="9"/>
      <c r="I39" s="9"/>
      <c r="J39" s="9"/>
      <c r="K39" s="9" t="s">
        <v>26</v>
      </c>
      <c r="L39" s="9"/>
      <c r="M39" s="9"/>
      <c r="N39" s="9"/>
      <c r="O39" s="9"/>
      <c r="P39" s="9"/>
      <c r="Q39" s="9"/>
    </row>
    <row r="40" spans="2:17" ht="28.8">
      <c r="B40" s="9" t="s">
        <v>10</v>
      </c>
      <c r="C40" s="10" t="s">
        <v>48</v>
      </c>
      <c r="D40" s="9" t="s">
        <v>22</v>
      </c>
      <c r="E40" s="10" t="s">
        <v>74</v>
      </c>
      <c r="F40" s="10" t="s">
        <v>54</v>
      </c>
      <c r="G40" s="9"/>
      <c r="H40" s="9"/>
      <c r="I40" s="9"/>
      <c r="J40" s="9"/>
      <c r="K40" s="9" t="s">
        <v>18</v>
      </c>
      <c r="L40" s="9"/>
      <c r="M40" s="9"/>
      <c r="N40" s="9"/>
      <c r="O40" s="9"/>
      <c r="P40" s="9"/>
      <c r="Q40" s="9"/>
    </row>
    <row r="41" spans="2:17" ht="28.8">
      <c r="B41" s="9" t="s">
        <v>10</v>
      </c>
      <c r="C41" s="10" t="s">
        <v>48</v>
      </c>
      <c r="D41" s="9" t="s">
        <v>13</v>
      </c>
      <c r="E41" s="10" t="s">
        <v>75</v>
      </c>
      <c r="F41" s="10" t="s">
        <v>30</v>
      </c>
      <c r="G41" s="9"/>
      <c r="H41" s="9"/>
      <c r="I41" s="9"/>
      <c r="J41" s="9"/>
      <c r="K41" s="9" t="s">
        <v>26</v>
      </c>
      <c r="L41" s="9"/>
      <c r="M41" s="9"/>
      <c r="N41" s="9"/>
      <c r="O41" s="9"/>
      <c r="P41" s="9"/>
      <c r="Q41" s="9"/>
    </row>
    <row r="42" spans="2:17">
      <c r="B42" s="9" t="s">
        <v>10</v>
      </c>
      <c r="C42" s="10" t="s">
        <v>48</v>
      </c>
      <c r="D42" s="9" t="s">
        <v>22</v>
      </c>
      <c r="E42" s="10" t="s">
        <v>76</v>
      </c>
      <c r="F42" s="10" t="s">
        <v>30</v>
      </c>
      <c r="G42" s="9"/>
      <c r="H42" s="9"/>
      <c r="I42" s="9"/>
      <c r="J42" s="9"/>
      <c r="K42" s="9" t="s">
        <v>26</v>
      </c>
      <c r="L42" s="9"/>
      <c r="M42" s="9"/>
      <c r="N42" s="9"/>
      <c r="O42" s="9"/>
      <c r="P42" s="9"/>
      <c r="Q42" s="9"/>
    </row>
    <row r="43" spans="2:17">
      <c r="B43" s="9" t="s">
        <v>10</v>
      </c>
      <c r="C43" s="10" t="s">
        <v>48</v>
      </c>
      <c r="D43" s="9" t="s">
        <v>22</v>
      </c>
      <c r="E43" s="10" t="s">
        <v>77</v>
      </c>
      <c r="F43" s="10" t="s">
        <v>14</v>
      </c>
      <c r="G43" s="9"/>
      <c r="H43" s="9"/>
      <c r="I43" s="9"/>
      <c r="J43" s="9"/>
      <c r="K43" s="9" t="s">
        <v>18</v>
      </c>
      <c r="L43" s="9"/>
      <c r="M43" s="9"/>
      <c r="N43" s="9"/>
      <c r="O43" s="9"/>
      <c r="P43" s="9"/>
      <c r="Q43" s="9"/>
    </row>
    <row r="44" spans="2:17" ht="28.8">
      <c r="B44" s="9" t="s">
        <v>10</v>
      </c>
      <c r="C44" s="10" t="s">
        <v>48</v>
      </c>
      <c r="D44" s="9" t="s">
        <v>22</v>
      </c>
      <c r="E44" s="10" t="s">
        <v>78</v>
      </c>
      <c r="F44" s="10" t="s">
        <v>14</v>
      </c>
      <c r="G44" s="9">
        <v>1020</v>
      </c>
      <c r="H44" s="9"/>
      <c r="I44" s="9"/>
      <c r="J44" s="9"/>
      <c r="K44" s="9" t="s">
        <v>26</v>
      </c>
      <c r="L44" s="9"/>
      <c r="M44" s="9"/>
      <c r="N44" s="9"/>
      <c r="O44" s="9"/>
      <c r="P44" s="9"/>
      <c r="Q44" s="9"/>
    </row>
    <row r="45" spans="2:17" ht="28.8">
      <c r="B45" s="9" t="s">
        <v>10</v>
      </c>
      <c r="C45" s="10" t="s">
        <v>48</v>
      </c>
      <c r="D45" s="9" t="s">
        <v>13</v>
      </c>
      <c r="E45" s="10" t="s">
        <v>78</v>
      </c>
      <c r="F45" s="10" t="s">
        <v>14</v>
      </c>
      <c r="G45" s="9">
        <v>1020</v>
      </c>
      <c r="H45" s="9"/>
      <c r="I45" s="9"/>
      <c r="J45" s="9"/>
      <c r="K45" s="9" t="s">
        <v>26</v>
      </c>
      <c r="L45" s="9"/>
      <c r="M45" s="9"/>
      <c r="N45" s="9"/>
      <c r="O45" s="9"/>
      <c r="P45" s="9"/>
      <c r="Q45" s="9"/>
    </row>
    <row r="46" spans="2:17" ht="28.8">
      <c r="B46" s="9" t="s">
        <v>10</v>
      </c>
      <c r="C46" s="10" t="s">
        <v>48</v>
      </c>
      <c r="D46" s="9" t="s">
        <v>22</v>
      </c>
      <c r="E46" s="10" t="s">
        <v>79</v>
      </c>
      <c r="F46" s="10" t="s">
        <v>36</v>
      </c>
      <c r="G46" s="9"/>
      <c r="H46" s="9"/>
      <c r="I46" s="9"/>
      <c r="J46" s="9"/>
      <c r="K46" s="9" t="s">
        <v>18</v>
      </c>
      <c r="L46" s="9"/>
      <c r="M46" s="9"/>
      <c r="N46" s="9"/>
      <c r="O46" s="9"/>
      <c r="P46" s="9"/>
      <c r="Q46" s="9"/>
    </row>
    <row r="47" spans="2:17" ht="28.8">
      <c r="B47" s="9" t="s">
        <v>10</v>
      </c>
      <c r="C47" s="10" t="s">
        <v>48</v>
      </c>
      <c r="D47" s="9" t="s">
        <v>13</v>
      </c>
      <c r="E47" s="10" t="s">
        <v>80</v>
      </c>
      <c r="F47" s="10" t="s">
        <v>14</v>
      </c>
      <c r="G47" s="9"/>
      <c r="H47" s="9"/>
      <c r="I47" s="9"/>
      <c r="J47" s="9"/>
      <c r="K47" s="9" t="s">
        <v>18</v>
      </c>
      <c r="L47" s="9"/>
      <c r="M47" s="9"/>
      <c r="N47" s="9"/>
      <c r="O47" s="9"/>
      <c r="P47" s="9"/>
      <c r="Q47" s="9"/>
    </row>
    <row r="48" spans="2:17">
      <c r="B48" s="9" t="s">
        <v>10</v>
      </c>
      <c r="C48" s="10" t="s">
        <v>48</v>
      </c>
      <c r="D48" s="9" t="s">
        <v>22</v>
      </c>
      <c r="E48" s="10" t="s">
        <v>82</v>
      </c>
      <c r="F48" s="10" t="s">
        <v>54</v>
      </c>
      <c r="G48" s="9">
        <v>2</v>
      </c>
      <c r="H48" s="9"/>
      <c r="I48" s="9"/>
      <c r="J48" s="9"/>
      <c r="K48" s="9" t="s">
        <v>18</v>
      </c>
      <c r="L48" s="9"/>
      <c r="M48" s="9"/>
      <c r="N48" s="9"/>
      <c r="O48" s="9"/>
      <c r="P48" s="9"/>
      <c r="Q48" s="9"/>
    </row>
    <row r="49" spans="2:17">
      <c r="B49" s="9" t="s">
        <v>10</v>
      </c>
      <c r="C49" s="10" t="s">
        <v>48</v>
      </c>
      <c r="D49" s="9" t="s">
        <v>22</v>
      </c>
      <c r="E49" s="10" t="s">
        <v>106</v>
      </c>
      <c r="F49" s="10" t="s">
        <v>54</v>
      </c>
      <c r="G49" s="9">
        <v>1</v>
      </c>
      <c r="H49" s="9"/>
      <c r="I49" s="9"/>
      <c r="J49" s="9"/>
      <c r="K49" s="9" t="s">
        <v>18</v>
      </c>
      <c r="L49" s="9"/>
      <c r="M49" s="9"/>
      <c r="N49" s="9"/>
      <c r="O49" s="9"/>
      <c r="P49" s="9"/>
      <c r="Q49" s="9"/>
    </row>
    <row r="50" spans="2:17">
      <c r="B50" s="9" t="s">
        <v>10</v>
      </c>
      <c r="C50" s="10" t="s">
        <v>48</v>
      </c>
      <c r="D50" s="9" t="s">
        <v>13</v>
      </c>
      <c r="E50" s="10" t="s">
        <v>83</v>
      </c>
      <c r="F50" s="10" t="s">
        <v>67</v>
      </c>
      <c r="G50" s="9">
        <v>1</v>
      </c>
      <c r="H50" s="9"/>
      <c r="I50" s="9"/>
      <c r="J50" s="9"/>
      <c r="K50" s="9" t="s">
        <v>26</v>
      </c>
      <c r="L50" s="9"/>
      <c r="M50" s="9"/>
      <c r="N50" s="9"/>
      <c r="O50" s="9"/>
      <c r="P50" s="9"/>
      <c r="Q50" s="9"/>
    </row>
    <row r="51" spans="2:17" ht="28.8">
      <c r="B51" s="9" t="s">
        <v>10</v>
      </c>
      <c r="C51" s="10" t="s">
        <v>48</v>
      </c>
      <c r="D51" s="9" t="s">
        <v>22</v>
      </c>
      <c r="E51" s="10" t="s">
        <v>84</v>
      </c>
      <c r="F51" s="10" t="s">
        <v>36</v>
      </c>
      <c r="G51" s="9">
        <v>2</v>
      </c>
      <c r="H51" s="9"/>
      <c r="I51" s="9"/>
      <c r="J51" s="9"/>
      <c r="K51" s="9" t="s">
        <v>18</v>
      </c>
      <c r="L51" s="9"/>
      <c r="M51" s="9"/>
      <c r="N51" s="9"/>
      <c r="O51" s="9"/>
      <c r="P51" s="9"/>
      <c r="Q51" s="9"/>
    </row>
    <row r="52" spans="2:17">
      <c r="B52" s="9" t="s">
        <v>10</v>
      </c>
      <c r="C52" s="10" t="s">
        <v>48</v>
      </c>
      <c r="D52" s="9" t="s">
        <v>22</v>
      </c>
      <c r="E52" s="10" t="s">
        <v>85</v>
      </c>
      <c r="F52" s="10" t="s">
        <v>14</v>
      </c>
      <c r="G52" s="9"/>
      <c r="H52" s="9"/>
      <c r="I52" s="9"/>
      <c r="J52" s="9"/>
      <c r="K52" s="9" t="s">
        <v>18</v>
      </c>
      <c r="L52" s="9"/>
      <c r="M52" s="9"/>
      <c r="N52" s="9"/>
      <c r="O52" s="9"/>
      <c r="P52" s="9"/>
      <c r="Q52" s="9"/>
    </row>
    <row r="53" spans="2:17">
      <c r="B53" s="9" t="s">
        <v>10</v>
      </c>
      <c r="C53" s="10" t="s">
        <v>48</v>
      </c>
      <c r="D53" s="9" t="s">
        <v>22</v>
      </c>
      <c r="E53" s="10" t="s">
        <v>86</v>
      </c>
      <c r="F53" s="10" t="s">
        <v>36</v>
      </c>
      <c r="G53" s="9"/>
      <c r="H53" s="9"/>
      <c r="I53" s="9"/>
      <c r="J53" s="9"/>
      <c r="K53" s="9" t="s">
        <v>18</v>
      </c>
      <c r="L53" s="9"/>
      <c r="M53" s="9"/>
      <c r="N53" s="9"/>
      <c r="O53" s="9"/>
      <c r="P53" s="9"/>
      <c r="Q53" s="9"/>
    </row>
    <row r="54" spans="2:17">
      <c r="B54" s="9" t="s">
        <v>10</v>
      </c>
      <c r="C54" s="10" t="s">
        <v>48</v>
      </c>
      <c r="D54" s="9" t="s">
        <v>22</v>
      </c>
      <c r="E54" s="10" t="s">
        <v>87</v>
      </c>
      <c r="F54" s="10" t="s">
        <v>50</v>
      </c>
      <c r="G54" s="9">
        <v>98</v>
      </c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>
      <c r="B55" s="9" t="s">
        <v>10</v>
      </c>
      <c r="C55" s="10" t="s">
        <v>48</v>
      </c>
      <c r="D55" s="9" t="s">
        <v>13</v>
      </c>
      <c r="E55" s="10" t="s">
        <v>87</v>
      </c>
      <c r="F55" s="10"/>
      <c r="G55" s="9">
        <v>98</v>
      </c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>
      <c r="B56" s="9" t="s">
        <v>10</v>
      </c>
      <c r="C56" s="10" t="s">
        <v>48</v>
      </c>
      <c r="D56" s="9" t="s">
        <v>22</v>
      </c>
      <c r="E56" s="10" t="s">
        <v>88</v>
      </c>
      <c r="F56" s="10" t="s">
        <v>50</v>
      </c>
      <c r="G56" s="9">
        <v>138</v>
      </c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>
      <c r="B57" s="9" t="s">
        <v>10</v>
      </c>
      <c r="C57" s="10" t="s">
        <v>48</v>
      </c>
      <c r="D57" s="9" t="s">
        <v>13</v>
      </c>
      <c r="E57" s="10" t="s">
        <v>88</v>
      </c>
      <c r="F57" s="10"/>
      <c r="G57" s="9">
        <v>138</v>
      </c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2:17">
      <c r="B58" s="9" t="s">
        <v>10</v>
      </c>
      <c r="C58" s="10" t="s">
        <v>48</v>
      </c>
      <c r="D58" s="9" t="s">
        <v>22</v>
      </c>
      <c r="E58" s="10" t="s">
        <v>89</v>
      </c>
      <c r="F58" s="10" t="s">
        <v>67</v>
      </c>
      <c r="G58" s="9">
        <v>3</v>
      </c>
      <c r="H58" s="9"/>
      <c r="I58" s="9"/>
      <c r="J58" s="9"/>
      <c r="K58" s="9" t="s">
        <v>26</v>
      </c>
      <c r="L58" s="9"/>
      <c r="M58" s="9"/>
      <c r="N58" s="9"/>
      <c r="O58" s="9"/>
      <c r="P58" s="9"/>
      <c r="Q58" s="9"/>
    </row>
    <row r="59" spans="2:17">
      <c r="B59" s="9" t="s">
        <v>10</v>
      </c>
      <c r="C59" s="10" t="s">
        <v>48</v>
      </c>
      <c r="D59" s="9" t="s">
        <v>13</v>
      </c>
      <c r="E59" s="10" t="s">
        <v>90</v>
      </c>
      <c r="F59" s="10" t="s">
        <v>29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>
      <c r="B60" s="9" t="s">
        <v>10</v>
      </c>
      <c r="C60" s="10" t="s">
        <v>48</v>
      </c>
      <c r="D60" s="9" t="s">
        <v>13</v>
      </c>
      <c r="E60" s="10" t="s">
        <v>91</v>
      </c>
      <c r="F60" s="10" t="s">
        <v>29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>
      <c r="B61" s="9" t="s">
        <v>10</v>
      </c>
      <c r="C61" s="10" t="s">
        <v>48</v>
      </c>
      <c r="D61" s="9" t="s">
        <v>13</v>
      </c>
      <c r="E61" s="10" t="s">
        <v>92</v>
      </c>
      <c r="F61" s="10" t="s">
        <v>29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ht="28.8">
      <c r="B62" s="9" t="s">
        <v>10</v>
      </c>
      <c r="C62" s="10" t="s">
        <v>48</v>
      </c>
      <c r="D62" s="9" t="s">
        <v>13</v>
      </c>
      <c r="E62" s="10" t="s">
        <v>93</v>
      </c>
      <c r="F62" s="10" t="s">
        <v>29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ht="28.8">
      <c r="B63" s="9" t="s">
        <v>10</v>
      </c>
      <c r="C63" s="10" t="s">
        <v>48</v>
      </c>
      <c r="D63" s="9" t="s">
        <v>13</v>
      </c>
      <c r="E63" s="10" t="s">
        <v>94</v>
      </c>
      <c r="F63" s="10" t="s">
        <v>29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ht="28.8">
      <c r="B64" s="9" t="s">
        <v>10</v>
      </c>
      <c r="C64" s="10" t="s">
        <v>48</v>
      </c>
      <c r="D64" s="9" t="s">
        <v>13</v>
      </c>
      <c r="E64" s="10" t="s">
        <v>95</v>
      </c>
      <c r="F64" s="10" t="s">
        <v>29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ht="28.8">
      <c r="B65" s="9" t="s">
        <v>10</v>
      </c>
      <c r="C65" s="10" t="s">
        <v>48</v>
      </c>
      <c r="D65" s="9" t="s">
        <v>13</v>
      </c>
      <c r="E65" s="10" t="s">
        <v>96</v>
      </c>
      <c r="F65" s="10" t="s">
        <v>67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ht="28.8">
      <c r="B66" s="9" t="s">
        <v>10</v>
      </c>
      <c r="C66" s="10" t="s">
        <v>48</v>
      </c>
      <c r="D66" s="9" t="s">
        <v>13</v>
      </c>
      <c r="E66" s="10" t="s">
        <v>97</v>
      </c>
      <c r="F66" s="10" t="s">
        <v>14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ht="28.8">
      <c r="B67" s="9" t="s">
        <v>10</v>
      </c>
      <c r="C67" s="10" t="s">
        <v>48</v>
      </c>
      <c r="D67" s="9" t="s">
        <v>22</v>
      </c>
      <c r="E67" s="10" t="s">
        <v>98</v>
      </c>
      <c r="F67" s="10" t="s">
        <v>30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ht="28.8">
      <c r="B68" s="9" t="s">
        <v>10</v>
      </c>
      <c r="C68" s="10" t="s">
        <v>48</v>
      </c>
      <c r="D68" s="9" t="s">
        <v>22</v>
      </c>
      <c r="E68" s="10" t="s">
        <v>99</v>
      </c>
      <c r="F68" s="10" t="s">
        <v>36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>
      <c r="B69" s="9" t="s">
        <v>10</v>
      </c>
      <c r="C69" s="10" t="s">
        <v>48</v>
      </c>
      <c r="D69" s="9" t="s">
        <v>22</v>
      </c>
      <c r="E69" s="10" t="s">
        <v>100</v>
      </c>
      <c r="F69" s="10" t="s">
        <v>154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>
      <c r="B70" s="9" t="s">
        <v>10</v>
      </c>
      <c r="C70" s="10" t="s">
        <v>48</v>
      </c>
      <c r="D70" s="9" t="s">
        <v>22</v>
      </c>
      <c r="E70" s="10" t="s">
        <v>101</v>
      </c>
      <c r="F70" s="10" t="s">
        <v>36</v>
      </c>
      <c r="G70" s="9"/>
      <c r="H70" s="9"/>
      <c r="I70" s="9"/>
      <c r="J70" s="9"/>
      <c r="K70" s="9" t="s">
        <v>18</v>
      </c>
      <c r="L70" s="9"/>
      <c r="M70" s="9"/>
      <c r="N70" s="9"/>
      <c r="O70" s="9"/>
      <c r="P70" s="9"/>
      <c r="Q70" s="9"/>
    </row>
    <row r="71" spans="2:17" ht="28.8">
      <c r="B71" s="9" t="s">
        <v>10</v>
      </c>
      <c r="C71" s="10" t="s">
        <v>48</v>
      </c>
      <c r="D71" s="9" t="s">
        <v>22</v>
      </c>
      <c r="E71" s="10" t="s">
        <v>107</v>
      </c>
      <c r="F71" s="10" t="s">
        <v>67</v>
      </c>
      <c r="G71" s="9">
        <v>2</v>
      </c>
      <c r="H71" s="9"/>
      <c r="I71" s="9"/>
      <c r="J71" s="9"/>
      <c r="K71" s="9" t="s">
        <v>26</v>
      </c>
      <c r="L71" s="9"/>
      <c r="M71" s="9"/>
      <c r="N71" s="9"/>
      <c r="O71" s="9"/>
      <c r="P71" s="9"/>
      <c r="Q71" s="9"/>
    </row>
    <row r="72" spans="2:17" ht="28.8">
      <c r="B72" s="12" t="s">
        <v>10</v>
      </c>
      <c r="C72" s="13" t="s">
        <v>105</v>
      </c>
      <c r="D72" s="12" t="s">
        <v>22</v>
      </c>
      <c r="E72" s="13" t="s">
        <v>102</v>
      </c>
      <c r="F72" s="13" t="s">
        <v>111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2:17">
      <c r="B73" s="12" t="s">
        <v>10</v>
      </c>
      <c r="C73" s="13" t="s">
        <v>105</v>
      </c>
      <c r="D73" s="12" t="s">
        <v>13</v>
      </c>
      <c r="E73" s="13" t="s">
        <v>103</v>
      </c>
      <c r="F73" s="13" t="s">
        <v>70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2:17">
      <c r="B74" s="12" t="s">
        <v>10</v>
      </c>
      <c r="C74" s="13" t="s">
        <v>105</v>
      </c>
      <c r="D74" s="12" t="s">
        <v>13</v>
      </c>
      <c r="E74" s="13" t="s">
        <v>69</v>
      </c>
      <c r="F74" s="13" t="s">
        <v>70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2:17">
      <c r="B75" s="12" t="s">
        <v>10</v>
      </c>
      <c r="C75" s="13" t="s">
        <v>105</v>
      </c>
      <c r="D75" s="12" t="s">
        <v>22</v>
      </c>
      <c r="E75" s="13" t="s">
        <v>81</v>
      </c>
      <c r="F75" s="13" t="s">
        <v>111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2:17">
      <c r="B76" s="12" t="s">
        <v>10</v>
      </c>
      <c r="C76" s="13" t="s">
        <v>105</v>
      </c>
      <c r="D76" s="12" t="s">
        <v>22</v>
      </c>
      <c r="E76" s="13" t="s">
        <v>108</v>
      </c>
      <c r="F76" s="13" t="s">
        <v>14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2:17">
      <c r="B77" s="12" t="s">
        <v>10</v>
      </c>
      <c r="C77" s="13" t="s">
        <v>105</v>
      </c>
      <c r="D77" s="12" t="s">
        <v>13</v>
      </c>
      <c r="E77" s="13" t="s">
        <v>109</v>
      </c>
      <c r="F77" s="13" t="s">
        <v>30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2:17">
      <c r="B78" s="12" t="s">
        <v>10</v>
      </c>
      <c r="C78" s="13" t="s">
        <v>105</v>
      </c>
      <c r="D78" s="12" t="s">
        <v>22</v>
      </c>
      <c r="E78" s="13" t="s">
        <v>110</v>
      </c>
      <c r="F78" s="13" t="s">
        <v>14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2:17">
      <c r="B79" s="12" t="s">
        <v>10</v>
      </c>
      <c r="C79" s="13" t="s">
        <v>105</v>
      </c>
      <c r="D79" s="12" t="s">
        <v>22</v>
      </c>
      <c r="E79" s="13" t="s">
        <v>112</v>
      </c>
      <c r="F79" s="13" t="s">
        <v>14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2:17">
      <c r="B80" s="12" t="s">
        <v>10</v>
      </c>
      <c r="C80" s="13" t="s">
        <v>105</v>
      </c>
      <c r="D80" s="12" t="s">
        <v>22</v>
      </c>
      <c r="E80" s="13" t="s">
        <v>150</v>
      </c>
      <c r="F80" s="13" t="s">
        <v>67</v>
      </c>
      <c r="G80" s="12">
        <v>60</v>
      </c>
      <c r="H80" s="12" t="s">
        <v>113</v>
      </c>
      <c r="I80" s="12" t="s">
        <v>114</v>
      </c>
      <c r="J80" s="12"/>
      <c r="K80" s="12"/>
      <c r="L80" s="12"/>
      <c r="M80" s="12"/>
      <c r="N80" s="12"/>
      <c r="O80" s="12"/>
      <c r="P80" s="12"/>
      <c r="Q80" s="12"/>
    </row>
    <row r="81" spans="2:17">
      <c r="B81" s="12" t="s">
        <v>10</v>
      </c>
      <c r="C81" s="13" t="s">
        <v>105</v>
      </c>
      <c r="D81" s="12" t="s">
        <v>22</v>
      </c>
      <c r="E81" s="13" t="s">
        <v>151</v>
      </c>
      <c r="F81" s="13" t="s">
        <v>23</v>
      </c>
      <c r="G81" s="12">
        <v>3</v>
      </c>
      <c r="H81" s="12" t="s">
        <v>113</v>
      </c>
      <c r="I81" s="12" t="s">
        <v>115</v>
      </c>
      <c r="J81" s="12"/>
      <c r="K81" s="12"/>
      <c r="L81" s="12"/>
      <c r="M81" s="12"/>
      <c r="N81" s="12"/>
      <c r="O81" s="12"/>
      <c r="P81" s="12"/>
      <c r="Q81" s="12"/>
    </row>
    <row r="82" spans="2:17">
      <c r="B82" s="12" t="s">
        <v>10</v>
      </c>
      <c r="C82" s="13" t="s">
        <v>105</v>
      </c>
      <c r="D82" s="12" t="s">
        <v>22</v>
      </c>
      <c r="E82" s="13" t="s">
        <v>152</v>
      </c>
      <c r="F82" s="13" t="s">
        <v>67</v>
      </c>
      <c r="G82" s="12">
        <v>85</v>
      </c>
      <c r="H82" s="12" t="s">
        <v>113</v>
      </c>
      <c r="I82" s="12" t="s">
        <v>114</v>
      </c>
      <c r="J82" s="12"/>
      <c r="K82" s="12"/>
      <c r="L82" s="12"/>
      <c r="M82" s="12"/>
      <c r="N82" s="12"/>
      <c r="O82" s="12"/>
      <c r="P82" s="12"/>
      <c r="Q82" s="12"/>
    </row>
    <row r="83" spans="2:17">
      <c r="B83" s="12" t="s">
        <v>10</v>
      </c>
      <c r="C83" s="13" t="s">
        <v>105</v>
      </c>
      <c r="D83" s="12" t="s">
        <v>22</v>
      </c>
      <c r="E83" s="13" t="s">
        <v>153</v>
      </c>
      <c r="F83" s="13" t="s">
        <v>54</v>
      </c>
      <c r="G83" s="12">
        <v>19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2:17" ht="28.8">
      <c r="B84" s="12" t="s">
        <v>10</v>
      </c>
      <c r="C84" s="13" t="s">
        <v>105</v>
      </c>
      <c r="D84" s="12" t="s">
        <v>22</v>
      </c>
      <c r="E84" s="13" t="s">
        <v>116</v>
      </c>
      <c r="F84" s="13" t="s">
        <v>14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2:17">
      <c r="B85" s="12" t="s">
        <v>10</v>
      </c>
      <c r="C85" s="13" t="s">
        <v>105</v>
      </c>
      <c r="D85" s="12" t="s">
        <v>22</v>
      </c>
      <c r="E85" s="13" t="s">
        <v>117</v>
      </c>
      <c r="F85" s="13" t="s">
        <v>118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2:17">
      <c r="B86" s="12" t="s">
        <v>10</v>
      </c>
      <c r="C86" s="13" t="s">
        <v>105</v>
      </c>
      <c r="D86" s="12" t="s">
        <v>22</v>
      </c>
      <c r="E86" s="13" t="s">
        <v>119</v>
      </c>
      <c r="F86" s="13" t="s">
        <v>14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2:17">
      <c r="B87" s="12" t="s">
        <v>10</v>
      </c>
      <c r="C87" s="13" t="s">
        <v>105</v>
      </c>
      <c r="D87" s="12" t="s">
        <v>22</v>
      </c>
      <c r="E87" s="13" t="s">
        <v>120</v>
      </c>
      <c r="F87" s="13" t="s">
        <v>67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2:17">
      <c r="B88" s="12" t="s">
        <v>10</v>
      </c>
      <c r="C88" s="13" t="s">
        <v>105</v>
      </c>
      <c r="D88" s="12" t="s">
        <v>22</v>
      </c>
      <c r="E88" s="13" t="s">
        <v>121</v>
      </c>
      <c r="F88" s="13" t="s">
        <v>14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2:17">
      <c r="B89" s="12" t="s">
        <v>10</v>
      </c>
      <c r="C89" s="13" t="s">
        <v>105</v>
      </c>
      <c r="D89" s="12" t="s">
        <v>22</v>
      </c>
      <c r="E89" s="13" t="s">
        <v>122</v>
      </c>
      <c r="F89" s="13" t="s">
        <v>14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2:17">
      <c r="B90" s="12" t="s">
        <v>10</v>
      </c>
      <c r="C90" s="13" t="s">
        <v>105</v>
      </c>
      <c r="D90" s="12" t="s">
        <v>22</v>
      </c>
      <c r="E90" s="13" t="s">
        <v>123</v>
      </c>
      <c r="F90" s="13" t="s">
        <v>14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2:17">
      <c r="B91" s="12" t="s">
        <v>10</v>
      </c>
      <c r="C91" s="13" t="s">
        <v>105</v>
      </c>
      <c r="D91" s="12" t="s">
        <v>22</v>
      </c>
      <c r="E91" s="13" t="s">
        <v>124</v>
      </c>
      <c r="F91" s="13" t="s">
        <v>14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2:17">
      <c r="B92" s="12" t="s">
        <v>10</v>
      </c>
      <c r="C92" s="13" t="s">
        <v>105</v>
      </c>
      <c r="D92" s="12" t="s">
        <v>22</v>
      </c>
      <c r="E92" s="13" t="s">
        <v>125</v>
      </c>
      <c r="F92" s="13" t="s">
        <v>14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2:17">
      <c r="B93" s="12" t="s">
        <v>10</v>
      </c>
      <c r="C93" s="13" t="s">
        <v>105</v>
      </c>
      <c r="D93" s="12" t="s">
        <v>13</v>
      </c>
      <c r="E93" s="13" t="s">
        <v>126</v>
      </c>
      <c r="F93" s="13" t="s">
        <v>14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2:17">
      <c r="B94" s="12" t="s">
        <v>10</v>
      </c>
      <c r="C94" s="13" t="s">
        <v>105</v>
      </c>
      <c r="D94" s="12" t="s">
        <v>22</v>
      </c>
      <c r="E94" s="13" t="s">
        <v>127</v>
      </c>
      <c r="F94" s="13" t="s">
        <v>30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2:17">
      <c r="B95" s="12" t="s">
        <v>10</v>
      </c>
      <c r="C95" s="13" t="s">
        <v>105</v>
      </c>
      <c r="D95" s="12" t="s">
        <v>22</v>
      </c>
      <c r="E95" s="13" t="s">
        <v>128</v>
      </c>
      <c r="F95" s="13" t="s">
        <v>14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2:17" ht="28.8">
      <c r="B96" s="12" t="s">
        <v>10</v>
      </c>
      <c r="C96" s="13" t="s">
        <v>105</v>
      </c>
      <c r="D96" s="12" t="s">
        <v>22</v>
      </c>
      <c r="E96" s="13" t="s">
        <v>129</v>
      </c>
      <c r="F96" s="13" t="s">
        <v>30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2:17" ht="28.8">
      <c r="B97" s="12" t="s">
        <v>10</v>
      </c>
      <c r="C97" s="13" t="s">
        <v>105</v>
      </c>
      <c r="D97" s="12" t="s">
        <v>22</v>
      </c>
      <c r="E97" s="13" t="s">
        <v>130</v>
      </c>
      <c r="F97" s="13" t="s">
        <v>14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2:17" ht="28.8">
      <c r="B98" s="12" t="s">
        <v>10</v>
      </c>
      <c r="C98" s="13" t="s">
        <v>105</v>
      </c>
      <c r="D98" s="12" t="s">
        <v>22</v>
      </c>
      <c r="E98" s="13" t="s">
        <v>131</v>
      </c>
      <c r="F98" s="13" t="s">
        <v>14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2:17" ht="28.8">
      <c r="B99" s="12" t="s">
        <v>10</v>
      </c>
      <c r="C99" s="13" t="s">
        <v>105</v>
      </c>
      <c r="D99" s="12" t="s">
        <v>22</v>
      </c>
      <c r="E99" s="13" t="s">
        <v>132</v>
      </c>
      <c r="F99" s="13" t="s">
        <v>155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2:17">
      <c r="B100" s="12" t="s">
        <v>10</v>
      </c>
      <c r="C100" s="13" t="s">
        <v>105</v>
      </c>
      <c r="D100" s="12" t="s">
        <v>22</v>
      </c>
      <c r="E100" s="13" t="s">
        <v>133</v>
      </c>
      <c r="F100" s="13" t="s">
        <v>14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2:17">
      <c r="B101" s="12" t="s">
        <v>10</v>
      </c>
      <c r="C101" s="13" t="s">
        <v>105</v>
      </c>
      <c r="D101" s="12" t="s">
        <v>22</v>
      </c>
      <c r="E101" s="13" t="s">
        <v>134</v>
      </c>
      <c r="F101" s="13" t="s">
        <v>14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2:17">
      <c r="B102" s="12" t="s">
        <v>10</v>
      </c>
      <c r="C102" s="13" t="s">
        <v>105</v>
      </c>
      <c r="D102" s="12" t="s">
        <v>13</v>
      </c>
      <c r="E102" s="13" t="s">
        <v>135</v>
      </c>
      <c r="F102" s="13" t="s">
        <v>14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2:17">
      <c r="B103" s="12" t="s">
        <v>10</v>
      </c>
      <c r="C103" s="13" t="s">
        <v>105</v>
      </c>
      <c r="D103" s="12" t="s">
        <v>22</v>
      </c>
      <c r="E103" s="13" t="s">
        <v>136</v>
      </c>
      <c r="F103" s="13" t="s">
        <v>14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2:17" ht="28.8">
      <c r="B104" s="12" t="s">
        <v>10</v>
      </c>
      <c r="C104" s="13" t="s">
        <v>105</v>
      </c>
      <c r="D104" s="12" t="s">
        <v>22</v>
      </c>
      <c r="E104" s="13" t="s">
        <v>137</v>
      </c>
      <c r="F104" s="13" t="s">
        <v>14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2:17">
      <c r="B105" s="12" t="s">
        <v>10</v>
      </c>
      <c r="C105" s="13" t="s">
        <v>105</v>
      </c>
      <c r="D105" s="12" t="s">
        <v>22</v>
      </c>
      <c r="E105" s="13" t="s">
        <v>138</v>
      </c>
      <c r="F105" s="13" t="s">
        <v>14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2:17">
      <c r="B106" s="12" t="s">
        <v>10</v>
      </c>
      <c r="C106" s="13" t="s">
        <v>105</v>
      </c>
      <c r="D106" s="12" t="s">
        <v>22</v>
      </c>
      <c r="E106" s="13" t="s">
        <v>139</v>
      </c>
      <c r="F106" s="13" t="s">
        <v>111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2:17" ht="28.8">
      <c r="B107" s="12" t="s">
        <v>10</v>
      </c>
      <c r="C107" s="13" t="s">
        <v>105</v>
      </c>
      <c r="D107" s="12" t="s">
        <v>22</v>
      </c>
      <c r="E107" s="13" t="s">
        <v>140</v>
      </c>
      <c r="F107" s="13" t="s">
        <v>14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2:17">
      <c r="B108" s="12" t="s">
        <v>10</v>
      </c>
      <c r="C108" s="13" t="s">
        <v>105</v>
      </c>
      <c r="D108" s="12" t="s">
        <v>22</v>
      </c>
      <c r="E108" s="13" t="s">
        <v>141</v>
      </c>
      <c r="F108" s="13" t="s">
        <v>14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2:17">
      <c r="B109" s="12" t="s">
        <v>10</v>
      </c>
      <c r="C109" s="13" t="s">
        <v>105</v>
      </c>
      <c r="D109" s="12" t="s">
        <v>22</v>
      </c>
      <c r="E109" s="13" t="s">
        <v>142</v>
      </c>
      <c r="F109" s="13" t="s">
        <v>30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2:17">
      <c r="B110" s="12" t="s">
        <v>10</v>
      </c>
      <c r="C110" s="13" t="s">
        <v>105</v>
      </c>
      <c r="D110" s="12" t="s">
        <v>22</v>
      </c>
      <c r="E110" s="13" t="s">
        <v>143</v>
      </c>
      <c r="F110" s="13" t="s">
        <v>14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2:17">
      <c r="B111" s="12" t="s">
        <v>10</v>
      </c>
      <c r="C111" s="13" t="s">
        <v>105</v>
      </c>
      <c r="D111" s="12" t="s">
        <v>22</v>
      </c>
      <c r="E111" s="13" t="s">
        <v>144</v>
      </c>
      <c r="F111" s="13" t="s">
        <v>14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2:17">
      <c r="B112" s="12" t="s">
        <v>10</v>
      </c>
      <c r="C112" s="13" t="s">
        <v>105</v>
      </c>
      <c r="D112" s="12" t="s">
        <v>13</v>
      </c>
      <c r="E112" s="13" t="s">
        <v>145</v>
      </c>
      <c r="F112" s="13" t="s">
        <v>14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</sheetData>
  <autoFilter ref="B1:Q112" xr:uid="{E729610B-4972-498F-838E-F9875CC53DE9}"/>
  <dataValidations count="3">
    <dataValidation type="list" allowBlank="1" showInputMessage="1" showErrorMessage="1" sqref="L2:L1048576" xr:uid="{7DD8F875-96EF-4273-B8AD-2E9AA05FC71F}">
      <formula1>"One time,Recurring,Continous"</formula1>
    </dataValidation>
    <dataValidation type="list" allowBlank="1" showInputMessage="1" showErrorMessage="1" sqref="K1:K1048576" xr:uid="{4716191F-C394-4BCE-8379-9FA61AA8D426}">
      <formula1>"Outsource, In-house"</formula1>
    </dataValidation>
    <dataValidation type="list" allowBlank="1" showInputMessage="1" showErrorMessage="1" sqref="M1:M1048576" xr:uid="{64642830-E77F-4659-9B4B-542504BA41B9}">
      <formula1>"Completed, Pending"</formula1>
    </dataValidation>
  </dataValidations>
  <pageMargins left="0.7" right="0.7" top="0.75" bottom="0.75" header="0.3" footer="0.3"/>
  <ignoredErrors>
    <ignoredError sqref="I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Maleesha Caldera</dc:creator>
  <cp:lastModifiedBy>Maleesha Caldera</cp:lastModifiedBy>
  <dcterms:created xsi:type="dcterms:W3CDTF">2026-10-22T03:41:47Z</dcterms:created>
  <dcterms:modified xsi:type="dcterms:W3CDTF">2026-10-22T08:58:46Z</dcterms:modified>
</cp:coreProperties>
</file>